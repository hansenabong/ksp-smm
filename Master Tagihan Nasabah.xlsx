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70" windowWidth="21075" windowHeight="8895"/>
  </bookViews>
  <sheets>
    <sheet name="MASTER" sheetId="1" r:id="rId1"/>
  </sheets>
  <externalReferences>
    <externalReference r:id="rId2"/>
  </externalReferences>
  <definedNames>
    <definedName name="_xlnm._FilterDatabase" localSheetId="0" hidden="1">MASTER!$A$7:$AH$13</definedName>
    <definedName name="CABANG">'[1]kode cabang'!$A$2:$B$20</definedName>
    <definedName name="_xlnm.Print_Area" localSheetId="0">MASTER!$A$4:$AE$12</definedName>
  </definedNames>
  <calcPr calcId="144525"/>
</workbook>
</file>

<file path=xl/calcChain.xml><?xml version="1.0" encoding="utf-8"?>
<calcChain xmlns="http://schemas.openxmlformats.org/spreadsheetml/2006/main">
  <c r="R11" i="1" l="1"/>
  <c r="R12" i="1"/>
  <c r="R10" i="1"/>
  <c r="R8" i="1"/>
  <c r="R9" i="1"/>
  <c r="AB13" i="1"/>
  <c r="AA21" i="1" s="1"/>
  <c r="Y13" i="1"/>
  <c r="Z13" i="1"/>
  <c r="W8" i="1"/>
  <c r="AA8" i="1" s="1"/>
  <c r="W9" i="1"/>
  <c r="W11" i="1"/>
  <c r="W10" i="1"/>
  <c r="AA10" i="1" s="1"/>
  <c r="W12" i="1"/>
  <c r="AA12" i="1" s="1"/>
  <c r="V13" i="1"/>
  <c r="Z19" i="1" s="1"/>
  <c r="T13" i="1"/>
  <c r="Z18" i="1" s="1"/>
  <c r="AA9" i="1"/>
  <c r="AA11" i="1"/>
  <c r="O13" i="1"/>
  <c r="N13" i="1"/>
  <c r="U12" i="1"/>
  <c r="U10" i="1"/>
  <c r="P10" i="1"/>
  <c r="U11" i="1"/>
  <c r="U9" i="1"/>
  <c r="U8" i="1"/>
  <c r="AA18" i="1" l="1"/>
  <c r="AB18" i="1" s="1"/>
  <c r="W13" i="1"/>
  <c r="Z16" i="1" s="1"/>
  <c r="Z17" i="1" s="1"/>
  <c r="AA19" i="1"/>
  <c r="AB19" i="1" s="1"/>
  <c r="AA13" i="1"/>
  <c r="AA20" i="1" l="1"/>
  <c r="Z22" i="1" s="1"/>
  <c r="AB20" i="1" l="1"/>
</calcChain>
</file>

<file path=xl/sharedStrings.xml><?xml version="1.0" encoding="utf-8"?>
<sst xmlns="http://schemas.openxmlformats.org/spreadsheetml/2006/main" count="113" uniqueCount="77">
  <si>
    <t xml:space="preserve"> </t>
  </si>
  <si>
    <t>No</t>
  </si>
  <si>
    <t>Nasabah</t>
  </si>
  <si>
    <t>Nomor Kontrak</t>
  </si>
  <si>
    <t>Cabang</t>
  </si>
  <si>
    <t>Restruk</t>
  </si>
  <si>
    <t>Kota (Tempat Tinggal)</t>
  </si>
  <si>
    <t>Kota (Jaminan)</t>
  </si>
  <si>
    <t>Pinjaman</t>
  </si>
  <si>
    <t>NJOP</t>
  </si>
  <si>
    <t>Presentase NJOP</t>
  </si>
  <si>
    <t>JW</t>
  </si>
  <si>
    <t>Angsuran</t>
  </si>
  <si>
    <t>Realisasi</t>
  </si>
  <si>
    <t>Sisa Kewajiban</t>
  </si>
  <si>
    <t>TOTAL BAYAR</t>
  </si>
  <si>
    <t>Alamat Tinggal</t>
  </si>
  <si>
    <t>Alamat Jaminan</t>
  </si>
  <si>
    <t>CONTACT PERSON</t>
  </si>
  <si>
    <t>BANK</t>
  </si>
  <si>
    <t>Petugas</t>
  </si>
  <si>
    <t>PETUGAS</t>
  </si>
  <si>
    <t xml:space="preserve">PETUGAS </t>
  </si>
  <si>
    <t>Bejalan</t>
  </si>
  <si>
    <t>Tunggakan</t>
  </si>
  <si>
    <t>Total Kewajiban</t>
  </si>
  <si>
    <t>Terbaru</t>
  </si>
  <si>
    <t>TERUPDATE</t>
  </si>
  <si>
    <t>Tnr</t>
  </si>
  <si>
    <t>Ke</t>
  </si>
  <si>
    <t>Tgl</t>
  </si>
  <si>
    <t>Rp.</t>
  </si>
  <si>
    <t>Bln</t>
  </si>
  <si>
    <t>MARIYAM</t>
  </si>
  <si>
    <t>1710/CF04/17/1</t>
  </si>
  <si>
    <t>BEKASI</t>
  </si>
  <si>
    <t>HASAN</t>
  </si>
  <si>
    <t>EDY</t>
  </si>
  <si>
    <t>ARDY</t>
  </si>
  <si>
    <t>NIA</t>
  </si>
  <si>
    <t>Bekasi</t>
  </si>
  <si>
    <t>Perum PUP Sektor V Blok M 11 No. 21 RT. 002 RW. 029 Kel. Bahagi Kec. Babelan Bekasi</t>
  </si>
  <si>
    <t>0713 7251 6168 / 0812  1287 7806</t>
  </si>
  <si>
    <t>ACHMAD HIDAYAT</t>
  </si>
  <si>
    <t>1702/CF08/17/1</t>
  </si>
  <si>
    <t>TAJUR</t>
  </si>
  <si>
    <t>RANI</t>
  </si>
  <si>
    <t>ZAENAL</t>
  </si>
  <si>
    <t>Bogor</t>
  </si>
  <si>
    <t>Perum Bukit Permatasari Blok E No. 3 RT. 002 RW, 010 Kel. Ciluar Kec. Bogor Utara Bogor</t>
  </si>
  <si>
    <t>0856 8364 640</t>
  </si>
  <si>
    <t>AMELIA CRISTINA</t>
  </si>
  <si>
    <t>1285/CF04/17/1</t>
  </si>
  <si>
    <t>Citra Indah Bakti Pinus Blok Q 18/20 RT. 002 RW. 010 Kel. Sukamaju Kec. Jonggol Bogor 16830</t>
  </si>
  <si>
    <t>0813 9187 4462</t>
  </si>
  <si>
    <t>KHAIRUDDIN</t>
  </si>
  <si>
    <t>MAHMURIDDIN</t>
  </si>
  <si>
    <t>CIPUTAT</t>
  </si>
  <si>
    <t>Jak-Sel</t>
  </si>
  <si>
    <t>RIRIN TRI LESTYOWATI</t>
  </si>
  <si>
    <t>1469/CF08/17/1</t>
  </si>
  <si>
    <t>Jl. Jati padang gg. H. Jaanih No. 12 RT. 007 RW. 003 Kel. Jati Padanag Kec. Pasar Minggu Jakarta Selatan</t>
  </si>
  <si>
    <t>Perum. BDB Blok Ge No. 10 RT. 010 RW.016 Kel. Sukahati Kec. Pasar Minggu Jakarta Selatan</t>
  </si>
  <si>
    <t>0815 1183 9848</t>
  </si>
  <si>
    <t>Depok</t>
  </si>
  <si>
    <t>RADEN BUDHIONO WIDODO</t>
  </si>
  <si>
    <t>1298/CF01/17/1</t>
  </si>
  <si>
    <t xml:space="preserve">Jl. Papandayan Blok J No. 177 RT. 016 RW. 005 Kel. Limo Kec. Limo Depok </t>
  </si>
  <si>
    <t>0812 9829 5379</t>
  </si>
  <si>
    <t>Target</t>
  </si>
  <si>
    <t>%</t>
  </si>
  <si>
    <t>Total Tagihan</t>
  </si>
  <si>
    <t>Angsuran Berjalan</t>
  </si>
  <si>
    <t xml:space="preserve"> Tunggakan</t>
  </si>
  <si>
    <t>Total Realisasi Tagihan</t>
  </si>
  <si>
    <t>Total Uang Masuk</t>
  </si>
  <si>
    <t>Realisasi Angsuran Bulanan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</si>
</sst>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[$-409]d\-mmm;@"/>
    <numFmt numFmtId="165" formatCode="_(* #,##0_);_(* \(#,##0\);_(* &quot;-&quot;??_);_(@_)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55"/>
      <name val="Calibri"/>
      <family val="2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0" fontId="8" fillId="0" borderId="0">
      <alignment vertical="top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58">
    <xf numFmtId="0" fontId="0" fillId="0" borderId="0" xfId="0"/>
    <xf numFmtId="0" fontId="4" fillId="2" borderId="0" xfId="4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/>
    </xf>
    <xf numFmtId="164" fontId="4" fillId="2" borderId="0" xfId="5" applyNumberFormat="1" applyFont="1" applyFill="1" applyBorder="1" applyAlignment="1">
      <alignment horizontal="center" vertical="center"/>
    </xf>
    <xf numFmtId="41" fontId="4" fillId="2" borderId="0" xfId="5" applyFont="1" applyFill="1" applyBorder="1" applyAlignment="1">
      <alignment horizontal="right" vertical="center"/>
    </xf>
    <xf numFmtId="41" fontId="4" fillId="2" borderId="0" xfId="5" applyFont="1" applyFill="1" applyBorder="1" applyAlignment="1">
      <alignment horizontal="center" vertical="center"/>
    </xf>
    <xf numFmtId="0" fontId="4" fillId="2" borderId="0" xfId="4" applyFont="1" applyFill="1" applyBorder="1" applyAlignment="1">
      <alignment horizontal="right" vertical="center"/>
    </xf>
    <xf numFmtId="164" fontId="4" fillId="2" borderId="0" xfId="4" applyNumberFormat="1" applyFont="1" applyFill="1" applyBorder="1" applyAlignment="1">
      <alignment horizontal="center" vertical="center"/>
    </xf>
    <xf numFmtId="41" fontId="4" fillId="2" borderId="0" xfId="5" applyNumberFormat="1" applyFont="1" applyFill="1" applyBorder="1" applyAlignment="1">
      <alignment horizontal="right" vertical="center"/>
    </xf>
    <xf numFmtId="41" fontId="4" fillId="2" borderId="0" xfId="5" applyNumberFormat="1" applyFont="1" applyFill="1" applyBorder="1" applyAlignment="1">
      <alignment horizontal="center" vertical="center"/>
    </xf>
    <xf numFmtId="165" fontId="4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0" fontId="5" fillId="0" borderId="0" xfId="0" applyFont="1"/>
    <xf numFmtId="0" fontId="6" fillId="2" borderId="0" xfId="4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3" fontId="4" fillId="2" borderId="0" xfId="0" applyNumberFormat="1" applyFont="1" applyFill="1" applyBorder="1" applyAlignment="1">
      <alignment horizontal="left" vertical="center"/>
    </xf>
    <xf numFmtId="0" fontId="5" fillId="2" borderId="0" xfId="4" applyFont="1" applyFill="1" applyBorder="1" applyAlignment="1">
      <alignment vertical="center"/>
    </xf>
    <xf numFmtId="0" fontId="3" fillId="2" borderId="0" xfId="4" applyFont="1" applyFill="1" applyBorder="1" applyAlignment="1">
      <alignment vertical="center" wrapText="1"/>
    </xf>
    <xf numFmtId="41" fontId="3" fillId="3" borderId="2" xfId="7" applyFont="1" applyFill="1" applyBorder="1" applyAlignment="1">
      <alignment horizontal="center" vertical="center" wrapText="1"/>
    </xf>
    <xf numFmtId="41" fontId="3" fillId="4" borderId="2" xfId="7" applyFont="1" applyFill="1" applyBorder="1" applyAlignment="1">
      <alignment horizontal="center" vertical="center" wrapText="1"/>
    </xf>
    <xf numFmtId="1" fontId="3" fillId="3" borderId="2" xfId="5" applyNumberFormat="1" applyFont="1" applyFill="1" applyBorder="1" applyAlignment="1">
      <alignment horizontal="right" vertical="center"/>
    </xf>
    <xf numFmtId="41" fontId="3" fillId="3" borderId="6" xfId="7" applyFont="1" applyFill="1" applyBorder="1" applyAlignment="1">
      <alignment horizontal="center" vertical="center" wrapText="1"/>
    </xf>
    <xf numFmtId="41" fontId="3" fillId="4" borderId="6" xfId="7" applyFont="1" applyFill="1" applyBorder="1" applyAlignment="1">
      <alignment horizontal="center" vertical="center" wrapText="1"/>
    </xf>
    <xf numFmtId="41" fontId="3" fillId="3" borderId="6" xfId="7" applyFont="1" applyFill="1" applyBorder="1" applyAlignment="1">
      <alignment horizontal="right" vertical="center"/>
    </xf>
    <xf numFmtId="41" fontId="3" fillId="3" borderId="10" xfId="7" applyFont="1" applyFill="1" applyBorder="1" applyAlignment="1">
      <alignment horizontal="center" vertical="center" wrapText="1"/>
    </xf>
    <xf numFmtId="17" fontId="3" fillId="4" borderId="10" xfId="7" applyNumberFormat="1" applyFont="1" applyFill="1" applyBorder="1" applyAlignment="1">
      <alignment horizontal="center" vertical="center" wrapText="1"/>
    </xf>
    <xf numFmtId="37" fontId="3" fillId="3" borderId="10" xfId="6" applyNumberFormat="1" applyFont="1" applyFill="1" applyBorder="1" applyAlignment="1">
      <alignment horizontal="center" vertical="center"/>
    </xf>
    <xf numFmtId="164" fontId="3" fillId="3" borderId="10" xfId="5" applyNumberFormat="1" applyFont="1" applyFill="1" applyBorder="1" applyAlignment="1">
      <alignment horizontal="center" vertical="center"/>
    </xf>
    <xf numFmtId="41" fontId="3" fillId="3" borderId="10" xfId="5" applyFont="1" applyFill="1" applyBorder="1" applyAlignment="1">
      <alignment horizontal="center" vertical="center"/>
    </xf>
    <xf numFmtId="41" fontId="3" fillId="3" borderId="12" xfId="5" applyFont="1" applyFill="1" applyBorder="1" applyAlignment="1">
      <alignment horizontal="center" vertical="center"/>
    </xf>
    <xf numFmtId="41" fontId="3" fillId="3" borderId="10" xfId="7" applyFont="1" applyFill="1" applyBorder="1" applyAlignment="1">
      <alignment horizontal="right" vertical="center"/>
    </xf>
    <xf numFmtId="164" fontId="3" fillId="3" borderId="10" xfId="7" applyNumberFormat="1" applyFont="1" applyFill="1" applyBorder="1" applyAlignment="1">
      <alignment horizontal="center" vertical="center"/>
    </xf>
    <xf numFmtId="41" fontId="3" fillId="3" borderId="10" xfId="5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0" fontId="6" fillId="3" borderId="7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/>
    </xf>
    <xf numFmtId="0" fontId="3" fillId="3" borderId="7" xfId="6" applyFont="1" applyFill="1" applyBorder="1" applyAlignment="1">
      <alignment horizontal="center" vertical="center"/>
    </xf>
    <xf numFmtId="41" fontId="3" fillId="3" borderId="7" xfId="7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41" fontId="3" fillId="3" borderId="7" xfId="7" applyFont="1" applyFill="1" applyBorder="1" applyAlignment="1">
      <alignment horizontal="center" vertical="center"/>
    </xf>
    <xf numFmtId="37" fontId="3" fillId="3" borderId="7" xfId="6" applyNumberFormat="1" applyFont="1" applyFill="1" applyBorder="1" applyAlignment="1">
      <alignment horizontal="center" vertical="center"/>
    </xf>
    <xf numFmtId="164" fontId="3" fillId="3" borderId="7" xfId="5" applyNumberFormat="1" applyFont="1" applyFill="1" applyBorder="1" applyAlignment="1">
      <alignment horizontal="center" vertical="center"/>
    </xf>
    <xf numFmtId="41" fontId="3" fillId="3" borderId="7" xfId="5" applyFont="1" applyFill="1" applyBorder="1" applyAlignment="1">
      <alignment horizontal="center" vertical="center"/>
    </xf>
    <xf numFmtId="41" fontId="3" fillId="3" borderId="7" xfId="7" applyFont="1" applyFill="1" applyBorder="1" applyAlignment="1">
      <alignment horizontal="right" vertical="center"/>
    </xf>
    <xf numFmtId="164" fontId="3" fillId="3" borderId="7" xfId="7" applyNumberFormat="1" applyFont="1" applyFill="1" applyBorder="1" applyAlignment="1">
      <alignment horizontal="center" vertical="center"/>
    </xf>
    <xf numFmtId="41" fontId="3" fillId="3" borderId="7" xfId="5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right"/>
    </xf>
    <xf numFmtId="165" fontId="3" fillId="3" borderId="7" xfId="1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/>
    </xf>
    <xf numFmtId="0" fontId="4" fillId="2" borderId="16" xfId="6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164" fontId="4" fillId="2" borderId="17" xfId="5" applyNumberFormat="1" applyFont="1" applyFill="1" applyBorder="1" applyAlignment="1">
      <alignment horizontal="center" vertical="center"/>
    </xf>
    <xf numFmtId="1" fontId="4" fillId="2" borderId="18" xfId="5" applyNumberFormat="1" applyFont="1" applyFill="1" applyBorder="1" applyAlignment="1">
      <alignment horizontal="center" vertical="center"/>
    </xf>
    <xf numFmtId="41" fontId="5" fillId="0" borderId="6" xfId="2" applyFont="1" applyBorder="1"/>
    <xf numFmtId="0" fontId="4" fillId="0" borderId="0" xfId="0" applyFont="1"/>
    <xf numFmtId="0" fontId="9" fillId="0" borderId="0" xfId="0" applyFont="1"/>
    <xf numFmtId="0" fontId="3" fillId="2" borderId="6" xfId="0" applyFont="1" applyFill="1" applyBorder="1" applyAlignment="1">
      <alignment horizontal="left" vertical="center" wrapText="1"/>
    </xf>
    <xf numFmtId="15" fontId="4" fillId="2" borderId="6" xfId="0" applyNumberFormat="1" applyFont="1" applyFill="1" applyBorder="1" applyAlignment="1">
      <alignment horizontal="center" vertical="center" wrapText="1"/>
    </xf>
    <xf numFmtId="9" fontId="4" fillId="2" borderId="6" xfId="8" applyNumberFormat="1" applyFont="1" applyFill="1" applyBorder="1" applyAlignment="1">
      <alignment horizontal="center" vertical="center"/>
    </xf>
    <xf numFmtId="9" fontId="4" fillId="2" borderId="6" xfId="3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right" vertical="center" wrapText="1"/>
    </xf>
    <xf numFmtId="3" fontId="4" fillId="2" borderId="6" xfId="0" applyNumberFormat="1" applyFont="1" applyFill="1" applyBorder="1" applyAlignment="1">
      <alignment horizontal="center" vertical="center" wrapText="1"/>
    </xf>
    <xf numFmtId="3" fontId="5" fillId="2" borderId="17" xfId="0" applyNumberFormat="1" applyFont="1" applyFill="1" applyBorder="1" applyAlignment="1">
      <alignment horizontal="center"/>
    </xf>
    <xf numFmtId="41" fontId="4" fillId="2" borderId="17" xfId="7" applyFont="1" applyFill="1" applyBorder="1" applyAlignment="1">
      <alignment horizontal="right" vertical="center"/>
    </xf>
    <xf numFmtId="164" fontId="4" fillId="2" borderId="6" xfId="0" applyNumberFormat="1" applyFont="1" applyFill="1" applyBorder="1" applyAlignment="1">
      <alignment horizontal="center" vertical="center"/>
    </xf>
    <xf numFmtId="41" fontId="4" fillId="2" borderId="6" xfId="7" applyFont="1" applyFill="1" applyBorder="1" applyAlignment="1">
      <alignment horizontal="right"/>
    </xf>
    <xf numFmtId="41" fontId="4" fillId="2" borderId="17" xfId="5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9" fillId="2" borderId="0" xfId="0" applyFont="1" applyFill="1"/>
    <xf numFmtId="0" fontId="3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6" xfId="0" applyFont="1" applyFill="1" applyBorder="1" applyAlignment="1">
      <alignment horizontal="center"/>
    </xf>
    <xf numFmtId="37" fontId="4" fillId="2" borderId="17" xfId="6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0" xfId="0" applyFont="1" applyFill="1"/>
    <xf numFmtId="0" fontId="5" fillId="2" borderId="6" xfId="0" applyFont="1" applyFill="1" applyBorder="1" applyAlignment="1">
      <alignment horizontal="center" vertical="center"/>
    </xf>
    <xf numFmtId="0" fontId="6" fillId="0" borderId="0" xfId="0" applyFont="1"/>
    <xf numFmtId="165" fontId="5" fillId="0" borderId="6" xfId="1" applyNumberFormat="1" applyFont="1" applyBorder="1"/>
    <xf numFmtId="0" fontId="6" fillId="3" borderId="19" xfId="0" applyFont="1" applyFill="1" applyBorder="1"/>
    <xf numFmtId="0" fontId="6" fillId="3" borderId="20" xfId="0" applyFont="1" applyFill="1" applyBorder="1"/>
    <xf numFmtId="3" fontId="3" fillId="3" borderId="20" xfId="0" applyNumberFormat="1" applyFont="1" applyFill="1" applyBorder="1" applyAlignment="1">
      <alignment horizontal="right"/>
    </xf>
    <xf numFmtId="3" fontId="3" fillId="3" borderId="11" xfId="0" applyNumberFormat="1" applyFont="1" applyFill="1" applyBorder="1" applyAlignment="1">
      <alignment horizontal="right"/>
    </xf>
    <xf numFmtId="0" fontId="6" fillId="3" borderId="21" xfId="0" applyFont="1" applyFill="1" applyBorder="1"/>
    <xf numFmtId="41" fontId="4" fillId="3" borderId="22" xfId="0" applyNumberFormat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65" fontId="4" fillId="2" borderId="2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165" fontId="9" fillId="2" borderId="6" xfId="0" applyNumberFormat="1" applyFont="1" applyFill="1" applyBorder="1" applyAlignment="1">
      <alignment horizontal="center" vertical="center"/>
    </xf>
    <xf numFmtId="9" fontId="9" fillId="2" borderId="8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41" fontId="5" fillId="2" borderId="6" xfId="0" applyNumberFormat="1" applyFont="1" applyFill="1" applyBorder="1" applyAlignment="1">
      <alignment horizontal="center" vertical="center"/>
    </xf>
    <xf numFmtId="9" fontId="4" fillId="2" borderId="8" xfId="3" applyFont="1" applyFill="1" applyBorder="1" applyAlignment="1">
      <alignment horizontal="center" vertical="center"/>
    </xf>
    <xf numFmtId="9" fontId="5" fillId="2" borderId="8" xfId="3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41" fontId="9" fillId="2" borderId="6" xfId="0" applyNumberFormat="1" applyFont="1" applyFill="1" applyBorder="1" applyAlignment="1">
      <alignment horizontal="center" vertical="center"/>
    </xf>
    <xf numFmtId="9" fontId="9" fillId="2" borderId="8" xfId="3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41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Border="1"/>
    <xf numFmtId="49" fontId="3" fillId="3" borderId="4" xfId="6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1" fontId="3" fillId="3" borderId="6" xfId="5" applyNumberFormat="1" applyFont="1" applyFill="1" applyBorder="1" applyAlignment="1">
      <alignment horizontal="center" vertical="center"/>
    </xf>
    <xf numFmtId="0" fontId="6" fillId="3" borderId="6" xfId="0" applyFont="1" applyFill="1" applyBorder="1"/>
    <xf numFmtId="41" fontId="3" fillId="3" borderId="6" xfId="7" applyFont="1" applyFill="1" applyBorder="1" applyAlignment="1">
      <alignment horizontal="center" vertical="center"/>
    </xf>
    <xf numFmtId="1" fontId="3" fillId="3" borderId="2" xfId="5" applyNumberFormat="1" applyFont="1" applyFill="1" applyBorder="1" applyAlignment="1">
      <alignment horizontal="center" vertical="center"/>
    </xf>
    <xf numFmtId="0" fontId="6" fillId="3" borderId="2" xfId="0" applyFont="1" applyFill="1" applyBorder="1"/>
    <xf numFmtId="41" fontId="3" fillId="3" borderId="2" xfId="5" applyNumberFormat="1" applyFont="1" applyFill="1" applyBorder="1" applyAlignment="1">
      <alignment horizontal="center" vertical="center"/>
    </xf>
    <xf numFmtId="41" fontId="3" fillId="3" borderId="6" xfId="5" applyNumberFormat="1" applyFont="1" applyFill="1" applyBorder="1" applyAlignment="1">
      <alignment horizontal="center" vertical="center"/>
    </xf>
    <xf numFmtId="41" fontId="3" fillId="3" borderId="2" xfId="5" applyNumberFormat="1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right"/>
    </xf>
    <xf numFmtId="0" fontId="6" fillId="3" borderId="10" xfId="0" applyFont="1" applyFill="1" applyBorder="1" applyAlignment="1">
      <alignment horizontal="right"/>
    </xf>
    <xf numFmtId="165" fontId="3" fillId="3" borderId="2" xfId="1" applyNumberFormat="1" applyFont="1" applyFill="1" applyBorder="1" applyAlignment="1">
      <alignment horizontal="center" vertical="center"/>
    </xf>
    <xf numFmtId="165" fontId="3" fillId="3" borderId="6" xfId="1" applyNumberFormat="1" applyFont="1" applyFill="1" applyBorder="1" applyAlignment="1">
      <alignment horizontal="center" vertical="center"/>
    </xf>
    <xf numFmtId="165" fontId="3" fillId="3" borderId="10" xfId="1" applyNumberFormat="1" applyFont="1" applyFill="1" applyBorder="1" applyAlignment="1">
      <alignment horizontal="center" vertical="center"/>
    </xf>
    <xf numFmtId="41" fontId="3" fillId="3" borderId="2" xfId="7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37" fontId="3" fillId="3" borderId="2" xfId="6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3" fillId="2" borderId="0" xfId="4" applyFont="1" applyFill="1" applyBorder="1" applyAlignment="1">
      <alignment horizontal="left" vertical="center"/>
    </xf>
    <xf numFmtId="0" fontId="6" fillId="3" borderId="1" xfId="6" applyFont="1" applyFill="1" applyBorder="1" applyAlignment="1">
      <alignment horizontal="center" vertical="center"/>
    </xf>
    <xf numFmtId="0" fontId="6" fillId="3" borderId="5" xfId="0" applyFont="1" applyFill="1" applyBorder="1"/>
    <xf numFmtId="0" fontId="6" fillId="3" borderId="9" xfId="0" applyFont="1" applyFill="1" applyBorder="1"/>
    <xf numFmtId="0" fontId="3" fillId="3" borderId="2" xfId="6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wrapText="1"/>
    </xf>
    <xf numFmtId="0" fontId="6" fillId="3" borderId="10" xfId="0" applyFont="1" applyFill="1" applyBorder="1" applyAlignment="1">
      <alignment wrapText="1"/>
    </xf>
    <xf numFmtId="0" fontId="3" fillId="3" borderId="2" xfId="6" applyFont="1" applyFill="1" applyBorder="1" applyAlignment="1">
      <alignment horizontal="center" vertical="center"/>
    </xf>
    <xf numFmtId="0" fontId="3" fillId="3" borderId="6" xfId="6" applyFont="1" applyFill="1" applyBorder="1" applyAlignment="1">
      <alignment horizontal="center" vertical="center"/>
    </xf>
    <xf numFmtId="0" fontId="3" fillId="3" borderId="10" xfId="6" applyFont="1" applyFill="1" applyBorder="1" applyAlignment="1">
      <alignment horizontal="center" vertical="center"/>
    </xf>
    <xf numFmtId="41" fontId="3" fillId="3" borderId="3" xfId="7" applyFont="1" applyFill="1" applyBorder="1" applyAlignment="1">
      <alignment horizontal="center" vertical="center" wrapText="1"/>
    </xf>
    <xf numFmtId="41" fontId="3" fillId="3" borderId="7" xfId="7" applyFont="1" applyFill="1" applyBorder="1" applyAlignment="1">
      <alignment horizontal="center" vertical="center" wrapText="1"/>
    </xf>
    <xf numFmtId="41" fontId="3" fillId="3" borderId="11" xfId="7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41" fontId="3" fillId="3" borderId="10" xfId="7" applyFont="1" applyFill="1" applyBorder="1" applyAlignment="1">
      <alignment horizontal="center" vertical="center"/>
    </xf>
    <xf numFmtId="41" fontId="3" fillId="3" borderId="2" xfId="7" applyFont="1" applyFill="1" applyBorder="1" applyAlignment="1">
      <alignment horizontal="center" vertical="center" wrapText="1"/>
    </xf>
    <xf numFmtId="41" fontId="3" fillId="3" borderId="6" xfId="7" applyFont="1" applyFill="1" applyBorder="1" applyAlignment="1">
      <alignment horizontal="center" vertical="center" wrapText="1"/>
    </xf>
    <xf numFmtId="41" fontId="3" fillId="3" borderId="10" xfId="7" applyFont="1" applyFill="1" applyBorder="1" applyAlignment="1">
      <alignment horizontal="center" vertical="center" wrapText="1"/>
    </xf>
  </cellXfs>
  <cellStyles count="13">
    <cellStyle name="Comma" xfId="1" builtinId="3"/>
    <cellStyle name="Comma [0]" xfId="2" builtinId="6"/>
    <cellStyle name="Comma [0] 2 3" xfId="7"/>
    <cellStyle name="Comma [0] 8" xfId="5"/>
    <cellStyle name="Comma 10" xfId="12"/>
    <cellStyle name="Comma 2" xfId="10"/>
    <cellStyle name="Excel Built-in Excel Built-in Excel Built-in Excel Built-in Excel Built-in Excel Built-in Excel Built-in Excel Built-in Excel Built-in Excel Built-in Excel Built-in Excel Built-in Excel Built-in Excel Built-in Excel Built-in Excel Built-in Excel Built-in " xfId="8"/>
    <cellStyle name="Normal" xfId="0" builtinId="0"/>
    <cellStyle name="Normal 2" xfId="4"/>
    <cellStyle name="Normal 3" xfId="9"/>
    <cellStyle name="Normal 5" xfId="11"/>
    <cellStyle name="Normal_Sheet1" xfId="6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.user-PC.000\Downloads\JANUARI%20-%20FEBRUARI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I 2016"/>
      <sheetName val="PERBULAN"/>
      <sheetName val="kode cabang"/>
      <sheetName val="Sheet1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 t="str">
            <v>CIPUTAT</v>
          </cell>
        </row>
        <row r="3">
          <cell r="A3">
            <v>2</v>
          </cell>
          <cell r="B3" t="str">
            <v>DEPOK</v>
          </cell>
        </row>
        <row r="4">
          <cell r="A4">
            <v>3</v>
          </cell>
          <cell r="B4" t="str">
            <v>CIBINONG</v>
          </cell>
        </row>
        <row r="5">
          <cell r="A5">
            <v>4</v>
          </cell>
          <cell r="B5" t="str">
            <v>BEKASI</v>
          </cell>
        </row>
        <row r="6">
          <cell r="A6">
            <v>5</v>
          </cell>
          <cell r="B6" t="str">
            <v>JOGLO</v>
          </cell>
        </row>
        <row r="7">
          <cell r="A7">
            <v>6</v>
          </cell>
          <cell r="B7" t="str">
            <v>BSD</v>
          </cell>
        </row>
        <row r="8">
          <cell r="A8">
            <v>7</v>
          </cell>
          <cell r="B8" t="str">
            <v>CONDET</v>
          </cell>
        </row>
        <row r="9">
          <cell r="A9">
            <v>8</v>
          </cell>
          <cell r="B9" t="str">
            <v>TAJUR</v>
          </cell>
        </row>
        <row r="10">
          <cell r="A10">
            <v>9</v>
          </cell>
          <cell r="B10" t="str">
            <v>CIKINI</v>
          </cell>
        </row>
        <row r="11">
          <cell r="A11">
            <v>10</v>
          </cell>
          <cell r="B11" t="str">
            <v>DUREN SAWIT</v>
          </cell>
        </row>
        <row r="12">
          <cell r="A12">
            <v>11</v>
          </cell>
          <cell r="B12" t="str">
            <v>MANGGA DUA</v>
          </cell>
        </row>
        <row r="13">
          <cell r="A13">
            <v>12</v>
          </cell>
          <cell r="B13" t="str">
            <v>KOJA</v>
          </cell>
        </row>
        <row r="14">
          <cell r="A14">
            <v>13</v>
          </cell>
          <cell r="B14" t="str">
            <v>CILEDUG</v>
          </cell>
        </row>
        <row r="15">
          <cell r="A15">
            <v>14</v>
          </cell>
          <cell r="B15" t="str">
            <v>CIRACAS</v>
          </cell>
        </row>
        <row r="16">
          <cell r="A16">
            <v>15</v>
          </cell>
          <cell r="B16" t="str">
            <v>CIBINONG</v>
          </cell>
        </row>
        <row r="17">
          <cell r="A17">
            <v>16</v>
          </cell>
          <cell r="B17" t="str">
            <v>BANDUNG</v>
          </cell>
        </row>
        <row r="18">
          <cell r="A18">
            <v>17</v>
          </cell>
          <cell r="B18" t="str">
            <v>JELAMBAR</v>
          </cell>
        </row>
        <row r="19">
          <cell r="A19">
            <v>18</v>
          </cell>
          <cell r="B19" t="str">
            <v>BSD SYARIAH</v>
          </cell>
        </row>
        <row r="20">
          <cell r="A20">
            <v>19</v>
          </cell>
          <cell r="B20" t="str">
            <v>DEPOK II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H407"/>
  <sheetViews>
    <sheetView tabSelected="1" zoomScale="85" zoomScaleNormal="85" workbookViewId="0">
      <selection activeCell="L22" sqref="L22"/>
    </sheetView>
  </sheetViews>
  <sheetFormatPr defaultColWidth="8.140625" defaultRowHeight="15.75" x14ac:dyDescent="0.25"/>
  <cols>
    <col min="1" max="1" width="5.7109375" style="14" customWidth="1"/>
    <col min="2" max="2" width="42.42578125" style="14" bestFit="1" customWidth="1"/>
    <col min="3" max="3" width="18.28515625" style="14" bestFit="1" customWidth="1"/>
    <col min="4" max="4" width="11" style="14" bestFit="1" customWidth="1"/>
    <col min="5" max="5" width="13.140625" style="14" hidden="1" customWidth="1"/>
    <col min="6" max="6" width="9" style="14" hidden="1" customWidth="1"/>
    <col min="7" max="11" width="16" style="14" hidden="1" customWidth="1"/>
    <col min="12" max="12" width="23" style="14" bestFit="1" customWidth="1"/>
    <col min="13" max="13" width="15.7109375" style="14" bestFit="1" customWidth="1"/>
    <col min="14" max="14" width="18.28515625" style="14" customWidth="1"/>
    <col min="15" max="15" width="18.28515625" style="14" hidden="1" customWidth="1"/>
    <col min="16" max="16" width="18.140625" style="14" hidden="1" customWidth="1"/>
    <col min="17" max="17" width="5" style="14" bestFit="1" customWidth="1"/>
    <col min="18" max="18" width="4.5703125" style="14" bestFit="1" customWidth="1"/>
    <col min="19" max="19" width="7.7109375" style="14" bestFit="1" customWidth="1"/>
    <col min="20" max="20" width="16.85546875" style="14" bestFit="1" customWidth="1"/>
    <col min="21" max="21" width="5.7109375" style="14" bestFit="1" customWidth="1"/>
    <col min="22" max="22" width="18.28515625" style="14" bestFit="1" customWidth="1"/>
    <col min="23" max="23" width="18.42578125" style="14" bestFit="1" customWidth="1"/>
    <col min="24" max="24" width="6.42578125" style="14" bestFit="1" customWidth="1"/>
    <col min="25" max="25" width="24" style="14" bestFit="1" customWidth="1"/>
    <col min="26" max="26" width="19.5703125" style="14" bestFit="1" customWidth="1"/>
    <col min="27" max="27" width="18.28515625" style="14" bestFit="1" customWidth="1"/>
    <col min="28" max="28" width="16" style="14" bestFit="1" customWidth="1"/>
    <col min="29" max="29" width="98.7109375" style="14" customWidth="1"/>
    <col min="30" max="30" width="89.85546875" style="14" customWidth="1"/>
    <col min="31" max="31" width="42.42578125" style="14" customWidth="1"/>
    <col min="32" max="16384" width="8.140625" style="14"/>
  </cols>
  <sheetData>
    <row r="1" spans="1:34" ht="17.25" customHeight="1" x14ac:dyDescent="0.25">
      <c r="A1" s="136" t="s">
        <v>0</v>
      </c>
      <c r="B1" s="136"/>
      <c r="C1" s="1"/>
      <c r="D1" s="1"/>
      <c r="E1" s="2"/>
      <c r="F1" s="2"/>
      <c r="G1" s="2"/>
      <c r="H1" s="2"/>
      <c r="I1" s="2"/>
      <c r="J1" s="2"/>
      <c r="K1" s="2"/>
      <c r="L1" s="3"/>
      <c r="M1" s="3"/>
      <c r="N1" s="4"/>
      <c r="O1" s="4"/>
      <c r="P1" s="2"/>
      <c r="Q1" s="1"/>
      <c r="R1" s="1"/>
      <c r="S1" s="5"/>
      <c r="T1" s="6"/>
      <c r="U1" s="7"/>
      <c r="V1" s="6"/>
      <c r="W1" s="8"/>
      <c r="X1" s="9"/>
      <c r="Y1" s="10"/>
      <c r="Z1" s="11"/>
      <c r="AA1" s="10"/>
      <c r="AB1" s="12"/>
      <c r="AC1" s="13"/>
      <c r="AD1" s="13"/>
    </row>
    <row r="2" spans="1:34" ht="17.25" customHeight="1" x14ac:dyDescent="0.25">
      <c r="A2" s="15" t="s">
        <v>76</v>
      </c>
      <c r="B2" s="16"/>
      <c r="C2" s="1"/>
      <c r="D2" s="1"/>
      <c r="E2" s="2"/>
      <c r="F2" s="2"/>
      <c r="G2" s="2"/>
      <c r="H2" s="2"/>
      <c r="I2" s="2"/>
      <c r="J2" s="2"/>
      <c r="K2" s="2"/>
      <c r="L2" s="3"/>
      <c r="M2" s="3"/>
      <c r="N2" s="4"/>
      <c r="O2" s="4"/>
      <c r="P2" s="2"/>
      <c r="Q2" s="1"/>
      <c r="R2" s="1"/>
      <c r="S2" s="5"/>
      <c r="T2" s="6"/>
      <c r="U2" s="7"/>
      <c r="V2" s="6"/>
      <c r="W2" s="8"/>
      <c r="X2" s="9"/>
      <c r="Y2" s="10"/>
      <c r="Z2" s="11"/>
      <c r="AA2" s="10"/>
      <c r="AB2" s="12"/>
      <c r="AC2" s="17"/>
      <c r="AD2" s="13"/>
    </row>
    <row r="3" spans="1:34" ht="17.25" customHeight="1" thickBot="1" x14ac:dyDescent="0.3">
      <c r="A3" s="18"/>
      <c r="B3" s="19"/>
      <c r="C3" s="1"/>
      <c r="D3" s="1"/>
      <c r="E3" s="2"/>
      <c r="F3" s="2"/>
      <c r="G3" s="2"/>
      <c r="H3" s="2"/>
      <c r="I3" s="2"/>
      <c r="J3" s="2"/>
      <c r="K3" s="2"/>
      <c r="L3" s="3"/>
      <c r="M3" s="3"/>
      <c r="N3" s="4"/>
      <c r="O3" s="4"/>
      <c r="P3" s="2"/>
      <c r="Q3" s="1"/>
      <c r="R3" s="1"/>
      <c r="S3" s="5"/>
      <c r="T3" s="6"/>
      <c r="U3" s="7"/>
      <c r="V3" s="6"/>
      <c r="W3" s="8"/>
      <c r="X3" s="9"/>
      <c r="Y3" s="10"/>
      <c r="Z3" s="11"/>
      <c r="AA3" s="10"/>
      <c r="AB3" s="12"/>
      <c r="AC3" s="13"/>
      <c r="AD3" s="13"/>
    </row>
    <row r="4" spans="1:34" ht="17.25" customHeight="1" x14ac:dyDescent="0.25">
      <c r="A4" s="137" t="s">
        <v>1</v>
      </c>
      <c r="B4" s="140" t="s">
        <v>2</v>
      </c>
      <c r="C4" s="143" t="s">
        <v>3</v>
      </c>
      <c r="D4" s="143" t="s">
        <v>4</v>
      </c>
      <c r="E4" s="20"/>
      <c r="F4" s="146" t="s">
        <v>5</v>
      </c>
      <c r="G4" s="20"/>
      <c r="H4" s="20"/>
      <c r="I4" s="21"/>
      <c r="J4" s="21"/>
      <c r="K4" s="21"/>
      <c r="L4" s="149" t="s">
        <v>6</v>
      </c>
      <c r="M4" s="149" t="s">
        <v>7</v>
      </c>
      <c r="N4" s="131" t="s">
        <v>8</v>
      </c>
      <c r="O4" s="131" t="s">
        <v>9</v>
      </c>
      <c r="P4" s="155" t="s">
        <v>10</v>
      </c>
      <c r="Q4" s="134" t="s">
        <v>11</v>
      </c>
      <c r="R4" s="135"/>
      <c r="S4" s="121" t="s">
        <v>12</v>
      </c>
      <c r="T4" s="122"/>
      <c r="U4" s="122"/>
      <c r="V4" s="122"/>
      <c r="W4" s="22"/>
      <c r="X4" s="123" t="s">
        <v>13</v>
      </c>
      <c r="Y4" s="123"/>
      <c r="Z4" s="123"/>
      <c r="AA4" s="125" t="s">
        <v>14</v>
      </c>
      <c r="AB4" s="128" t="s">
        <v>15</v>
      </c>
      <c r="AC4" s="131" t="s">
        <v>16</v>
      </c>
      <c r="AD4" s="131" t="s">
        <v>17</v>
      </c>
      <c r="AE4" s="115" t="s">
        <v>18</v>
      </c>
    </row>
    <row r="5" spans="1:34" ht="17.25" customHeight="1" x14ac:dyDescent="0.25">
      <c r="A5" s="138"/>
      <c r="B5" s="141"/>
      <c r="C5" s="132"/>
      <c r="D5" s="144"/>
      <c r="E5" s="23" t="s">
        <v>19</v>
      </c>
      <c r="F5" s="147"/>
      <c r="G5" s="23" t="s">
        <v>20</v>
      </c>
      <c r="H5" s="23" t="s">
        <v>21</v>
      </c>
      <c r="I5" s="24" t="s">
        <v>22</v>
      </c>
      <c r="J5" s="24" t="s">
        <v>21</v>
      </c>
      <c r="K5" s="24" t="s">
        <v>21</v>
      </c>
      <c r="L5" s="150"/>
      <c r="M5" s="150"/>
      <c r="N5" s="152"/>
      <c r="O5" s="120"/>
      <c r="P5" s="156"/>
      <c r="Q5" s="132"/>
      <c r="R5" s="132"/>
      <c r="S5" s="118" t="s">
        <v>23</v>
      </c>
      <c r="T5" s="119"/>
      <c r="U5" s="120" t="s">
        <v>24</v>
      </c>
      <c r="V5" s="119"/>
      <c r="W5" s="25" t="s">
        <v>25</v>
      </c>
      <c r="X5" s="124"/>
      <c r="Y5" s="124"/>
      <c r="Z5" s="124"/>
      <c r="AA5" s="126"/>
      <c r="AB5" s="129"/>
      <c r="AC5" s="132"/>
      <c r="AD5" s="132"/>
      <c r="AE5" s="116"/>
    </row>
    <row r="6" spans="1:34" ht="17.25" customHeight="1" thickBot="1" x14ac:dyDescent="0.3">
      <c r="A6" s="139"/>
      <c r="B6" s="142"/>
      <c r="C6" s="133"/>
      <c r="D6" s="145"/>
      <c r="E6" s="26"/>
      <c r="F6" s="148"/>
      <c r="G6" s="26" t="s">
        <v>26</v>
      </c>
      <c r="H6" s="26" t="s">
        <v>27</v>
      </c>
      <c r="I6" s="27">
        <v>43647</v>
      </c>
      <c r="J6" s="27">
        <v>43709</v>
      </c>
      <c r="K6" s="27">
        <v>43739</v>
      </c>
      <c r="L6" s="151"/>
      <c r="M6" s="151"/>
      <c r="N6" s="153"/>
      <c r="O6" s="154"/>
      <c r="P6" s="157"/>
      <c r="Q6" s="28" t="s">
        <v>28</v>
      </c>
      <c r="R6" s="28" t="s">
        <v>29</v>
      </c>
      <c r="S6" s="29" t="s">
        <v>30</v>
      </c>
      <c r="T6" s="30" t="s">
        <v>31</v>
      </c>
      <c r="U6" s="30" t="s">
        <v>32</v>
      </c>
      <c r="V6" s="31" t="s">
        <v>31</v>
      </c>
      <c r="W6" s="32"/>
      <c r="X6" s="33" t="s">
        <v>30</v>
      </c>
      <c r="Y6" s="34" t="s">
        <v>31</v>
      </c>
      <c r="Z6" s="34" t="s">
        <v>24</v>
      </c>
      <c r="AA6" s="127"/>
      <c r="AB6" s="130"/>
      <c r="AC6" s="133"/>
      <c r="AD6" s="133"/>
      <c r="AE6" s="117"/>
    </row>
    <row r="7" spans="1:34" ht="17.25" customHeight="1" x14ac:dyDescent="0.25">
      <c r="A7" s="35"/>
      <c r="B7" s="36"/>
      <c r="C7" s="37"/>
      <c r="D7" s="38"/>
      <c r="E7" s="39"/>
      <c r="F7" s="39"/>
      <c r="G7" s="39"/>
      <c r="H7" s="39"/>
      <c r="I7" s="39"/>
      <c r="J7" s="39"/>
      <c r="K7" s="39"/>
      <c r="L7" s="40"/>
      <c r="M7" s="40"/>
      <c r="N7" s="41"/>
      <c r="O7" s="42"/>
      <c r="P7" s="39"/>
      <c r="Q7" s="43"/>
      <c r="R7" s="43"/>
      <c r="S7" s="44"/>
      <c r="T7" s="45"/>
      <c r="U7" s="45"/>
      <c r="V7" s="31"/>
      <c r="W7" s="46"/>
      <c r="X7" s="47"/>
      <c r="Y7" s="48"/>
      <c r="Z7" s="48"/>
      <c r="AA7" s="49"/>
      <c r="AB7" s="50"/>
      <c r="AC7" s="37"/>
      <c r="AD7" s="37"/>
      <c r="AE7" s="51"/>
    </row>
    <row r="8" spans="1:34" s="58" customFormat="1" ht="17.25" customHeight="1" x14ac:dyDescent="0.25">
      <c r="A8" s="52">
        <v>1</v>
      </c>
      <c r="B8" s="59" t="s">
        <v>33</v>
      </c>
      <c r="C8" s="60" t="s">
        <v>34</v>
      </c>
      <c r="D8" s="61" t="s">
        <v>35</v>
      </c>
      <c r="E8" s="62"/>
      <c r="F8" s="62"/>
      <c r="G8" s="62" t="s">
        <v>37</v>
      </c>
      <c r="H8" s="62" t="s">
        <v>38</v>
      </c>
      <c r="I8" s="62" t="s">
        <v>39</v>
      </c>
      <c r="J8" s="62" t="s">
        <v>36</v>
      </c>
      <c r="K8" s="62" t="s">
        <v>36</v>
      </c>
      <c r="L8" s="63" t="s">
        <v>40</v>
      </c>
      <c r="M8" s="63" t="s">
        <v>40</v>
      </c>
      <c r="N8" s="64">
        <v>55000000</v>
      </c>
      <c r="O8" s="64">
        <v>100944000</v>
      </c>
      <c r="P8" s="62">
        <v>0.54485655412902201</v>
      </c>
      <c r="Q8" s="65">
        <v>48</v>
      </c>
      <c r="R8" s="53">
        <f>22+1</f>
        <v>23</v>
      </c>
      <c r="S8" s="54">
        <v>43751</v>
      </c>
      <c r="T8" s="64">
        <v>2383400</v>
      </c>
      <c r="U8" s="55">
        <f>SUM(V8/T8)</f>
        <v>-6.1232743140052026</v>
      </c>
      <c r="V8" s="56">
        <v>-14594212</v>
      </c>
      <c r="W8" s="67">
        <f>SUM(T8+V8)</f>
        <v>-12210812</v>
      </c>
      <c r="X8" s="68"/>
      <c r="Y8" s="64"/>
      <c r="Z8" s="69"/>
      <c r="AA8" s="70">
        <f t="shared" ref="AA8:AA12" si="0">SUM(W8-Y8)</f>
        <v>-12210812</v>
      </c>
      <c r="AB8" s="64"/>
      <c r="AC8" s="71" t="s">
        <v>41</v>
      </c>
      <c r="AD8" s="71" t="s">
        <v>41</v>
      </c>
      <c r="AE8" s="72" t="s">
        <v>42</v>
      </c>
      <c r="AF8" s="14"/>
      <c r="AG8" s="14"/>
      <c r="AH8" s="57"/>
    </row>
    <row r="9" spans="1:34" ht="17.25" customHeight="1" x14ac:dyDescent="0.25">
      <c r="A9" s="52">
        <v>2</v>
      </c>
      <c r="B9" s="59" t="s">
        <v>43</v>
      </c>
      <c r="C9" s="60" t="s">
        <v>44</v>
      </c>
      <c r="D9" s="61" t="s">
        <v>45</v>
      </c>
      <c r="E9" s="62"/>
      <c r="F9" s="62"/>
      <c r="G9" s="62" t="s">
        <v>46</v>
      </c>
      <c r="H9" s="62" t="s">
        <v>46</v>
      </c>
      <c r="I9" s="62" t="s">
        <v>46</v>
      </c>
      <c r="J9" s="62" t="s">
        <v>47</v>
      </c>
      <c r="K9" s="62" t="s">
        <v>47</v>
      </c>
      <c r="L9" s="63" t="s">
        <v>48</v>
      </c>
      <c r="M9" s="63" t="s">
        <v>48</v>
      </c>
      <c r="N9" s="64">
        <v>45000000</v>
      </c>
      <c r="O9" s="64">
        <v>178604000</v>
      </c>
      <c r="P9" s="62">
        <v>0.25195404358245055</v>
      </c>
      <c r="Q9" s="65">
        <v>48</v>
      </c>
      <c r="R9" s="66">
        <f>21+1</f>
        <v>22</v>
      </c>
      <c r="S9" s="54">
        <v>43746</v>
      </c>
      <c r="T9" s="64">
        <v>1950000</v>
      </c>
      <c r="U9" s="55">
        <f>SUM(V9/T9)</f>
        <v>-2.197025641025641</v>
      </c>
      <c r="V9" s="56">
        <v>-4284200</v>
      </c>
      <c r="W9" s="67">
        <f>SUM(T9+V9)</f>
        <v>-2334200</v>
      </c>
      <c r="X9" s="68"/>
      <c r="Y9" s="64"/>
      <c r="Z9" s="69"/>
      <c r="AA9" s="70">
        <f t="shared" si="0"/>
        <v>-2334200</v>
      </c>
      <c r="AB9" s="64"/>
      <c r="AC9" s="71" t="s">
        <v>49</v>
      </c>
      <c r="AD9" s="71" t="s">
        <v>49</v>
      </c>
      <c r="AE9" s="72" t="s">
        <v>50</v>
      </c>
      <c r="AF9" s="57"/>
      <c r="AG9" s="57"/>
      <c r="AH9" s="73"/>
    </row>
    <row r="10" spans="1:34" s="77" customFormat="1" ht="17.25" customHeight="1" x14ac:dyDescent="0.25">
      <c r="A10" s="52">
        <v>3</v>
      </c>
      <c r="B10" s="74" t="s">
        <v>59</v>
      </c>
      <c r="C10" s="80" t="s">
        <v>60</v>
      </c>
      <c r="D10" s="61" t="s">
        <v>45</v>
      </c>
      <c r="E10" s="62"/>
      <c r="F10" s="62"/>
      <c r="G10" s="62" t="s">
        <v>46</v>
      </c>
      <c r="H10" s="62" t="s">
        <v>56</v>
      </c>
      <c r="I10" s="62" t="s">
        <v>39</v>
      </c>
      <c r="J10" s="62" t="s">
        <v>56</v>
      </c>
      <c r="K10" s="62" t="s">
        <v>56</v>
      </c>
      <c r="L10" s="63" t="s">
        <v>58</v>
      </c>
      <c r="M10" s="63" t="s">
        <v>58</v>
      </c>
      <c r="N10" s="69">
        <v>50000000</v>
      </c>
      <c r="O10" s="69">
        <v>118436000</v>
      </c>
      <c r="P10" s="62">
        <f>SUM(N10/O10)</f>
        <v>0.42216893512107806</v>
      </c>
      <c r="Q10" s="78">
        <v>36</v>
      </c>
      <c r="R10" s="79">
        <f>24+1</f>
        <v>25</v>
      </c>
      <c r="S10" s="54">
        <v>43740</v>
      </c>
      <c r="T10" s="69">
        <v>2513900</v>
      </c>
      <c r="U10" s="55">
        <f>SUM(V10/T10)</f>
        <v>-1</v>
      </c>
      <c r="V10" s="56">
        <v>-2513900</v>
      </c>
      <c r="W10" s="67">
        <f>SUM(T10+V10)</f>
        <v>0</v>
      </c>
      <c r="X10" s="68"/>
      <c r="Y10" s="69"/>
      <c r="Z10" s="69"/>
      <c r="AA10" s="70">
        <f t="shared" si="0"/>
        <v>0</v>
      </c>
      <c r="AB10" s="69"/>
      <c r="AC10" s="75" t="s">
        <v>61</v>
      </c>
      <c r="AD10" s="75" t="s">
        <v>62</v>
      </c>
      <c r="AE10" s="76" t="s">
        <v>63</v>
      </c>
      <c r="AF10" s="81"/>
      <c r="AG10" s="57"/>
      <c r="AH10" s="57"/>
    </row>
    <row r="11" spans="1:34" s="57" customFormat="1" ht="17.25" customHeight="1" x14ac:dyDescent="0.25">
      <c r="A11" s="52">
        <v>4</v>
      </c>
      <c r="B11" s="74" t="s">
        <v>51</v>
      </c>
      <c r="C11" s="63" t="s">
        <v>52</v>
      </c>
      <c r="D11" s="61" t="s">
        <v>35</v>
      </c>
      <c r="E11" s="62"/>
      <c r="F11" s="62"/>
      <c r="G11" s="62" t="s">
        <v>46</v>
      </c>
      <c r="H11" s="62" t="s">
        <v>46</v>
      </c>
      <c r="I11" s="62" t="s">
        <v>46</v>
      </c>
      <c r="J11" s="62" t="s">
        <v>47</v>
      </c>
      <c r="K11" s="62" t="s">
        <v>47</v>
      </c>
      <c r="L11" s="63" t="s">
        <v>48</v>
      </c>
      <c r="M11" s="63"/>
      <c r="N11" s="69">
        <v>60000000</v>
      </c>
      <c r="O11" s="69">
        <v>94680000</v>
      </c>
      <c r="P11" s="62">
        <v>0.63371356147021551</v>
      </c>
      <c r="Q11" s="63">
        <v>48</v>
      </c>
      <c r="R11" s="53">
        <f>27+1</f>
        <v>28</v>
      </c>
      <c r="S11" s="54">
        <v>43760</v>
      </c>
      <c r="T11" s="69">
        <v>2600000</v>
      </c>
      <c r="U11" s="55">
        <f>SUM(V11/T11)</f>
        <v>-1</v>
      </c>
      <c r="V11" s="56">
        <v>-2600000</v>
      </c>
      <c r="W11" s="67">
        <f>SUM(T11+V11)</f>
        <v>0</v>
      </c>
      <c r="X11" s="68"/>
      <c r="Y11" s="69"/>
      <c r="Z11" s="69"/>
      <c r="AA11" s="70">
        <f t="shared" si="0"/>
        <v>0</v>
      </c>
      <c r="AB11" s="69"/>
      <c r="AC11" s="75" t="s">
        <v>53</v>
      </c>
      <c r="AD11" s="75" t="s">
        <v>53</v>
      </c>
      <c r="AE11" s="76" t="s">
        <v>54</v>
      </c>
      <c r="AF11" s="14"/>
      <c r="AG11" s="14"/>
      <c r="AH11" s="14"/>
    </row>
    <row r="12" spans="1:34" s="58" customFormat="1" ht="17.25" customHeight="1" thickBot="1" x14ac:dyDescent="0.3">
      <c r="A12" s="52">
        <v>5</v>
      </c>
      <c r="B12" s="74" t="s">
        <v>65</v>
      </c>
      <c r="C12" s="63" t="s">
        <v>66</v>
      </c>
      <c r="D12" s="61" t="s">
        <v>57</v>
      </c>
      <c r="E12" s="62"/>
      <c r="F12" s="62"/>
      <c r="G12" s="62" t="s">
        <v>39</v>
      </c>
      <c r="H12" s="62" t="s">
        <v>39</v>
      </c>
      <c r="I12" s="62" t="s">
        <v>39</v>
      </c>
      <c r="J12" s="62" t="s">
        <v>55</v>
      </c>
      <c r="K12" s="62" t="s">
        <v>55</v>
      </c>
      <c r="L12" s="63" t="s">
        <v>64</v>
      </c>
      <c r="M12" s="63"/>
      <c r="N12" s="69">
        <v>550000000</v>
      </c>
      <c r="O12" s="69">
        <v>1157184000</v>
      </c>
      <c r="P12" s="62">
        <v>0.47529174271334551</v>
      </c>
      <c r="Q12" s="63">
        <v>48</v>
      </c>
      <c r="R12" s="53">
        <f>27+1</f>
        <v>28</v>
      </c>
      <c r="S12" s="54">
        <v>43761</v>
      </c>
      <c r="T12" s="69">
        <v>22458400</v>
      </c>
      <c r="U12" s="55">
        <f>SUM(V12/T12)</f>
        <v>-1</v>
      </c>
      <c r="V12" s="56">
        <v>-22458400</v>
      </c>
      <c r="W12" s="67">
        <f>SUM(T12+V12)</f>
        <v>0</v>
      </c>
      <c r="X12" s="68"/>
      <c r="Y12" s="84"/>
      <c r="Z12" s="69"/>
      <c r="AA12" s="70">
        <f t="shared" si="0"/>
        <v>0</v>
      </c>
      <c r="AB12" s="69"/>
      <c r="AC12" s="75" t="s">
        <v>67</v>
      </c>
      <c r="AD12" s="75" t="s">
        <v>67</v>
      </c>
      <c r="AE12" s="76" t="s">
        <v>68</v>
      </c>
      <c r="AF12" s="14"/>
      <c r="AG12" s="14"/>
      <c r="AH12" s="14"/>
    </row>
    <row r="13" spans="1:34" s="83" customFormat="1" ht="17.25" customHeight="1" thickBot="1" x14ac:dyDescent="0.3">
      <c r="A13" s="85"/>
      <c r="B13" s="86"/>
      <c r="C13" s="86"/>
      <c r="D13" s="86"/>
      <c r="E13" s="87"/>
      <c r="F13" s="87"/>
      <c r="G13" s="87"/>
      <c r="H13" s="87"/>
      <c r="I13" s="87"/>
      <c r="J13" s="87"/>
      <c r="K13" s="87"/>
      <c r="L13" s="86"/>
      <c r="M13" s="86"/>
      <c r="N13" s="87">
        <f>SUM(N8:N12)</f>
        <v>760000000</v>
      </c>
      <c r="O13" s="87">
        <f>SUM(O8:O12)</f>
        <v>1649848000</v>
      </c>
      <c r="P13" s="87"/>
      <c r="Q13" s="87"/>
      <c r="R13" s="87"/>
      <c r="S13" s="87"/>
      <c r="T13" s="87">
        <f>SUM(T8:T12)</f>
        <v>31905700</v>
      </c>
      <c r="U13" s="87"/>
      <c r="V13" s="88">
        <f>SUM(V8:V12)</f>
        <v>-46450712</v>
      </c>
      <c r="W13" s="87">
        <f>SUM(W8:W12)</f>
        <v>-14545012</v>
      </c>
      <c r="X13" s="87"/>
      <c r="Y13" s="87">
        <f>SUM(Y8:Y12)</f>
        <v>0</v>
      </c>
      <c r="Z13" s="87">
        <f>SUM(Z8:Z12)</f>
        <v>0</v>
      </c>
      <c r="AA13" s="87">
        <f>SUM(AA8:AA12)</f>
        <v>-14545012</v>
      </c>
      <c r="AB13" s="87">
        <f>SUM(AB8:AB12)</f>
        <v>0</v>
      </c>
      <c r="AC13" s="86"/>
      <c r="AD13" s="86"/>
      <c r="AE13" s="89"/>
    </row>
    <row r="14" spans="1:34" ht="17.25" customHeight="1" thickBot="1" x14ac:dyDescent="0.3"/>
    <row r="15" spans="1:34" ht="17.25" customHeight="1" thickBot="1" x14ac:dyDescent="0.3">
      <c r="Y15" s="90" t="s">
        <v>0</v>
      </c>
      <c r="Z15" s="91" t="s">
        <v>69</v>
      </c>
      <c r="AA15" s="92" t="s">
        <v>13</v>
      </c>
      <c r="AB15" s="93" t="s">
        <v>70</v>
      </c>
    </row>
    <row r="16" spans="1:34" ht="17.25" customHeight="1" x14ac:dyDescent="0.25">
      <c r="Y16" s="94" t="s">
        <v>71</v>
      </c>
      <c r="Z16" s="95">
        <f>W13</f>
        <v>-14545012</v>
      </c>
      <c r="AA16" s="95"/>
      <c r="AB16" s="96"/>
    </row>
    <row r="17" spans="3:28" ht="17.25" customHeight="1" x14ac:dyDescent="0.25">
      <c r="Y17" s="97" t="s">
        <v>69</v>
      </c>
      <c r="Z17" s="98">
        <f>SUM(AB17*Z16)</f>
        <v>-9454257.8000000007</v>
      </c>
      <c r="AA17" s="98"/>
      <c r="AB17" s="99">
        <v>0.65</v>
      </c>
    </row>
    <row r="18" spans="3:28" ht="17.25" customHeight="1" x14ac:dyDescent="0.25">
      <c r="Y18" s="100" t="s">
        <v>72</v>
      </c>
      <c r="Z18" s="101">
        <f>T13</f>
        <v>31905700</v>
      </c>
      <c r="AA18" s="101">
        <f>SUM( Y13-Z13)</f>
        <v>0</v>
      </c>
      <c r="AB18" s="102">
        <f>SUM(AA18/Z18)</f>
        <v>0</v>
      </c>
    </row>
    <row r="19" spans="3:28" ht="17.25" customHeight="1" x14ac:dyDescent="0.25">
      <c r="Y19" s="100" t="s">
        <v>73</v>
      </c>
      <c r="Z19" s="101">
        <f>V13</f>
        <v>-46450712</v>
      </c>
      <c r="AA19" s="101">
        <f>Z13</f>
        <v>0</v>
      </c>
      <c r="AB19" s="103">
        <f>SUM(AA19/Z19)</f>
        <v>0</v>
      </c>
    </row>
    <row r="20" spans="3:28" ht="17.25" customHeight="1" x14ac:dyDescent="0.25">
      <c r="C20" s="104"/>
      <c r="D20" s="104"/>
      <c r="Y20" s="100" t="s">
        <v>74</v>
      </c>
      <c r="Z20" s="82"/>
      <c r="AA20" s="105">
        <f>SUM(AA18+AA19)</f>
        <v>0</v>
      </c>
      <c r="AB20" s="106">
        <f>SUM(AA20/Z16)</f>
        <v>0</v>
      </c>
    </row>
    <row r="21" spans="3:28" ht="17.25" customHeight="1" thickBot="1" x14ac:dyDescent="0.3">
      <c r="C21" s="83"/>
      <c r="D21" s="83"/>
      <c r="Y21" s="107" t="s">
        <v>75</v>
      </c>
      <c r="Z21" s="108"/>
      <c r="AA21" s="109">
        <f>AB13</f>
        <v>0</v>
      </c>
      <c r="AB21" s="110"/>
    </row>
    <row r="22" spans="3:28" ht="17.25" customHeight="1" x14ac:dyDescent="0.25">
      <c r="C22" s="83"/>
      <c r="D22" s="83"/>
      <c r="S22" s="111"/>
      <c r="T22" s="112"/>
      <c r="Z22" s="111">
        <f>SUM(AA21-AA20)</f>
        <v>0</v>
      </c>
    </row>
    <row r="23" spans="3:28" ht="17.25" customHeight="1" x14ac:dyDescent="0.25">
      <c r="C23" s="113"/>
      <c r="D23" s="113"/>
    </row>
    <row r="262" spans="25:25" x14ac:dyDescent="0.25">
      <c r="Y262" s="114"/>
    </row>
    <row r="283" spans="25:25" x14ac:dyDescent="0.25">
      <c r="Y283" s="114"/>
    </row>
    <row r="284" spans="25:25" x14ac:dyDescent="0.25">
      <c r="Y284" s="114"/>
    </row>
    <row r="285" spans="25:25" x14ac:dyDescent="0.25">
      <c r="Y285" s="114"/>
    </row>
    <row r="286" spans="25:25" x14ac:dyDescent="0.25">
      <c r="Y286" s="114"/>
    </row>
    <row r="287" spans="25:25" x14ac:dyDescent="0.25">
      <c r="Y287" s="114"/>
    </row>
    <row r="288" spans="25:25" x14ac:dyDescent="0.25">
      <c r="Y288" s="114"/>
    </row>
    <row r="289" spans="25:25" x14ac:dyDescent="0.25">
      <c r="Y289" s="114"/>
    </row>
    <row r="290" spans="25:25" x14ac:dyDescent="0.25">
      <c r="Y290" s="114"/>
    </row>
    <row r="291" spans="25:25" x14ac:dyDescent="0.25">
      <c r="Y291" s="114"/>
    </row>
    <row r="292" spans="25:25" x14ac:dyDescent="0.25">
      <c r="Y292" s="114"/>
    </row>
    <row r="293" spans="25:25" x14ac:dyDescent="0.25">
      <c r="Y293" s="114"/>
    </row>
    <row r="294" spans="25:25" x14ac:dyDescent="0.25">
      <c r="Y294" s="114"/>
    </row>
    <row r="295" spans="25:25" x14ac:dyDescent="0.25">
      <c r="Y295" s="114"/>
    </row>
    <row r="296" spans="25:25" x14ac:dyDescent="0.25">
      <c r="Y296" s="114"/>
    </row>
    <row r="297" spans="25:25" x14ac:dyDescent="0.25">
      <c r="Y297" s="114"/>
    </row>
    <row r="298" spans="25:25" x14ac:dyDescent="0.25">
      <c r="Y298" s="114"/>
    </row>
    <row r="299" spans="25:25" x14ac:dyDescent="0.25">
      <c r="Y299" s="114"/>
    </row>
    <row r="300" spans="25:25" x14ac:dyDescent="0.25">
      <c r="Y300" s="114"/>
    </row>
    <row r="301" spans="25:25" x14ac:dyDescent="0.25">
      <c r="Y301" s="114"/>
    </row>
    <row r="302" spans="25:25" x14ac:dyDescent="0.25">
      <c r="Y302" s="114"/>
    </row>
    <row r="303" spans="25:25" x14ac:dyDescent="0.25">
      <c r="Y303" s="114"/>
    </row>
    <row r="304" spans="25:25" x14ac:dyDescent="0.25">
      <c r="Y304" s="114"/>
    </row>
    <row r="305" spans="25:25" x14ac:dyDescent="0.25">
      <c r="Y305" s="114"/>
    </row>
    <row r="306" spans="25:25" x14ac:dyDescent="0.25">
      <c r="Y306" s="114"/>
    </row>
    <row r="307" spans="25:25" x14ac:dyDescent="0.25">
      <c r="Y307" s="114"/>
    </row>
    <row r="308" spans="25:25" x14ac:dyDescent="0.25">
      <c r="Y308" s="114"/>
    </row>
    <row r="309" spans="25:25" x14ac:dyDescent="0.25">
      <c r="Y309" s="114"/>
    </row>
    <row r="310" spans="25:25" x14ac:dyDescent="0.25">
      <c r="Y310" s="114"/>
    </row>
    <row r="311" spans="25:25" x14ac:dyDescent="0.25">
      <c r="Y311" s="114"/>
    </row>
    <row r="312" spans="25:25" x14ac:dyDescent="0.25">
      <c r="Y312" s="114"/>
    </row>
    <row r="313" spans="25:25" x14ac:dyDescent="0.25">
      <c r="Y313" s="114"/>
    </row>
    <row r="314" spans="25:25" x14ac:dyDescent="0.25">
      <c r="Y314" s="114"/>
    </row>
    <row r="315" spans="25:25" x14ac:dyDescent="0.25">
      <c r="Y315" s="114"/>
    </row>
    <row r="316" spans="25:25" x14ac:dyDescent="0.25">
      <c r="Y316" s="114"/>
    </row>
    <row r="317" spans="25:25" x14ac:dyDescent="0.25">
      <c r="Y317" s="114"/>
    </row>
    <row r="318" spans="25:25" x14ac:dyDescent="0.25">
      <c r="Y318" s="114"/>
    </row>
    <row r="319" spans="25:25" x14ac:dyDescent="0.25">
      <c r="Y319" s="114"/>
    </row>
    <row r="320" spans="25:25" x14ac:dyDescent="0.25">
      <c r="Y320" s="114"/>
    </row>
    <row r="321" spans="25:25" x14ac:dyDescent="0.25">
      <c r="Y321" s="114"/>
    </row>
    <row r="322" spans="25:25" x14ac:dyDescent="0.25">
      <c r="Y322" s="114"/>
    </row>
    <row r="323" spans="25:25" x14ac:dyDescent="0.25">
      <c r="Y323" s="114"/>
    </row>
    <row r="324" spans="25:25" x14ac:dyDescent="0.25">
      <c r="Y324" s="114"/>
    </row>
    <row r="325" spans="25:25" x14ac:dyDescent="0.25">
      <c r="Y325" s="114"/>
    </row>
    <row r="326" spans="25:25" x14ac:dyDescent="0.25">
      <c r="Y326" s="114"/>
    </row>
    <row r="327" spans="25:25" x14ac:dyDescent="0.25">
      <c r="Y327" s="114"/>
    </row>
    <row r="328" spans="25:25" x14ac:dyDescent="0.25">
      <c r="Y328" s="114"/>
    </row>
    <row r="329" spans="25:25" x14ac:dyDescent="0.25">
      <c r="Y329" s="114"/>
    </row>
    <row r="330" spans="25:25" x14ac:dyDescent="0.25">
      <c r="Y330" s="114"/>
    </row>
    <row r="331" spans="25:25" x14ac:dyDescent="0.25">
      <c r="Y331" s="114"/>
    </row>
    <row r="332" spans="25:25" x14ac:dyDescent="0.25">
      <c r="Y332" s="114"/>
    </row>
    <row r="333" spans="25:25" x14ac:dyDescent="0.25">
      <c r="Y333" s="114"/>
    </row>
    <row r="334" spans="25:25" x14ac:dyDescent="0.25">
      <c r="Y334" s="114"/>
    </row>
    <row r="335" spans="25:25" x14ac:dyDescent="0.25">
      <c r="Y335" s="114"/>
    </row>
    <row r="336" spans="25:25" x14ac:dyDescent="0.25">
      <c r="Y336" s="114"/>
    </row>
    <row r="337" spans="25:25" x14ac:dyDescent="0.25">
      <c r="Y337" s="114"/>
    </row>
    <row r="338" spans="25:25" x14ac:dyDescent="0.25">
      <c r="Y338" s="114"/>
    </row>
    <row r="339" spans="25:25" x14ac:dyDescent="0.25">
      <c r="Y339" s="114"/>
    </row>
    <row r="340" spans="25:25" x14ac:dyDescent="0.25">
      <c r="Y340" s="114"/>
    </row>
    <row r="341" spans="25:25" x14ac:dyDescent="0.25">
      <c r="Y341" s="114"/>
    </row>
    <row r="342" spans="25:25" x14ac:dyDescent="0.25">
      <c r="Y342" s="114"/>
    </row>
    <row r="343" spans="25:25" x14ac:dyDescent="0.25">
      <c r="Y343" s="114"/>
    </row>
    <row r="344" spans="25:25" x14ac:dyDescent="0.25">
      <c r="Y344" s="114"/>
    </row>
    <row r="345" spans="25:25" x14ac:dyDescent="0.25">
      <c r="Y345" s="114"/>
    </row>
    <row r="346" spans="25:25" x14ac:dyDescent="0.25">
      <c r="Y346" s="114"/>
    </row>
    <row r="347" spans="25:25" x14ac:dyDescent="0.25">
      <c r="Y347" s="114"/>
    </row>
    <row r="348" spans="25:25" x14ac:dyDescent="0.25">
      <c r="Y348" s="114"/>
    </row>
    <row r="349" spans="25:25" x14ac:dyDescent="0.25">
      <c r="Y349" s="114"/>
    </row>
    <row r="350" spans="25:25" x14ac:dyDescent="0.25">
      <c r="Y350" s="114"/>
    </row>
    <row r="351" spans="25:25" x14ac:dyDescent="0.25">
      <c r="Y351" s="114"/>
    </row>
    <row r="352" spans="25:25" x14ac:dyDescent="0.25">
      <c r="Y352" s="114"/>
    </row>
    <row r="353" spans="25:25" x14ac:dyDescent="0.25">
      <c r="Y353" s="114"/>
    </row>
    <row r="354" spans="25:25" x14ac:dyDescent="0.25">
      <c r="Y354" s="114"/>
    </row>
    <row r="355" spans="25:25" x14ac:dyDescent="0.25">
      <c r="Y355" s="114"/>
    </row>
    <row r="356" spans="25:25" x14ac:dyDescent="0.25">
      <c r="Y356" s="114"/>
    </row>
    <row r="357" spans="25:25" x14ac:dyDescent="0.25">
      <c r="Y357" s="114"/>
    </row>
    <row r="358" spans="25:25" x14ac:dyDescent="0.25">
      <c r="Y358" s="114"/>
    </row>
    <row r="359" spans="25:25" x14ac:dyDescent="0.25">
      <c r="Y359" s="114"/>
    </row>
    <row r="360" spans="25:25" x14ac:dyDescent="0.25">
      <c r="Y360" s="114"/>
    </row>
    <row r="361" spans="25:25" x14ac:dyDescent="0.25">
      <c r="Y361" s="114"/>
    </row>
    <row r="362" spans="25:25" x14ac:dyDescent="0.25">
      <c r="Y362" s="114"/>
    </row>
    <row r="363" spans="25:25" x14ac:dyDescent="0.25">
      <c r="Y363" s="114"/>
    </row>
    <row r="364" spans="25:25" x14ac:dyDescent="0.25">
      <c r="Y364" s="114"/>
    </row>
    <row r="365" spans="25:25" x14ac:dyDescent="0.25">
      <c r="Y365" s="114"/>
    </row>
    <row r="366" spans="25:25" x14ac:dyDescent="0.25">
      <c r="Y366" s="114"/>
    </row>
    <row r="367" spans="25:25" x14ac:dyDescent="0.25">
      <c r="Y367" s="114"/>
    </row>
    <row r="368" spans="25:25" x14ac:dyDescent="0.25">
      <c r="Y368" s="114"/>
    </row>
    <row r="369" spans="25:25" x14ac:dyDescent="0.25">
      <c r="Y369" s="114"/>
    </row>
    <row r="370" spans="25:25" x14ac:dyDescent="0.25">
      <c r="Y370" s="114"/>
    </row>
    <row r="371" spans="25:25" x14ac:dyDescent="0.25">
      <c r="Y371" s="114"/>
    </row>
    <row r="372" spans="25:25" x14ac:dyDescent="0.25">
      <c r="Y372" s="114"/>
    </row>
    <row r="373" spans="25:25" x14ac:dyDescent="0.25">
      <c r="Y373" s="114"/>
    </row>
    <row r="374" spans="25:25" x14ac:dyDescent="0.25">
      <c r="Y374" s="114"/>
    </row>
    <row r="375" spans="25:25" x14ac:dyDescent="0.25">
      <c r="Y375" s="114"/>
    </row>
    <row r="376" spans="25:25" x14ac:dyDescent="0.25">
      <c r="Y376" s="114"/>
    </row>
    <row r="377" spans="25:25" x14ac:dyDescent="0.25">
      <c r="Y377" s="114"/>
    </row>
    <row r="378" spans="25:25" x14ac:dyDescent="0.25">
      <c r="Y378" s="114"/>
    </row>
    <row r="379" spans="25:25" x14ac:dyDescent="0.25">
      <c r="Y379" s="114"/>
    </row>
    <row r="380" spans="25:25" x14ac:dyDescent="0.25">
      <c r="Y380" s="114"/>
    </row>
    <row r="381" spans="25:25" x14ac:dyDescent="0.25">
      <c r="Y381" s="114"/>
    </row>
    <row r="382" spans="25:25" x14ac:dyDescent="0.25">
      <c r="Y382" s="114"/>
    </row>
    <row r="383" spans="25:25" x14ac:dyDescent="0.25">
      <c r="Y383" s="114"/>
    </row>
    <row r="384" spans="25:25" x14ac:dyDescent="0.25">
      <c r="Y384" s="114"/>
    </row>
    <row r="385" spans="25:25" x14ac:dyDescent="0.25">
      <c r="Y385" s="114"/>
    </row>
    <row r="386" spans="25:25" x14ac:dyDescent="0.25">
      <c r="Y386" s="114"/>
    </row>
    <row r="387" spans="25:25" x14ac:dyDescent="0.25">
      <c r="Y387" s="114"/>
    </row>
    <row r="388" spans="25:25" x14ac:dyDescent="0.25">
      <c r="Y388" s="114"/>
    </row>
    <row r="389" spans="25:25" x14ac:dyDescent="0.25">
      <c r="Y389" s="114"/>
    </row>
    <row r="390" spans="25:25" x14ac:dyDescent="0.25">
      <c r="Y390" s="114"/>
    </row>
    <row r="391" spans="25:25" x14ac:dyDescent="0.25">
      <c r="Y391" s="114"/>
    </row>
    <row r="392" spans="25:25" x14ac:dyDescent="0.25">
      <c r="Y392" s="114"/>
    </row>
    <row r="393" spans="25:25" x14ac:dyDescent="0.25">
      <c r="Y393" s="114"/>
    </row>
    <row r="394" spans="25:25" x14ac:dyDescent="0.25">
      <c r="Y394" s="114"/>
    </row>
    <row r="395" spans="25:25" x14ac:dyDescent="0.25">
      <c r="Y395" s="114"/>
    </row>
    <row r="396" spans="25:25" x14ac:dyDescent="0.25">
      <c r="Y396" s="114"/>
    </row>
    <row r="397" spans="25:25" x14ac:dyDescent="0.25">
      <c r="Y397" s="114"/>
    </row>
    <row r="398" spans="25:25" x14ac:dyDescent="0.25">
      <c r="Y398" s="114"/>
    </row>
    <row r="399" spans="25:25" x14ac:dyDescent="0.25">
      <c r="Y399" s="114"/>
    </row>
    <row r="400" spans="25:25" x14ac:dyDescent="0.25">
      <c r="Y400" s="114"/>
    </row>
    <row r="401" spans="25:25" x14ac:dyDescent="0.25">
      <c r="Y401" s="114"/>
    </row>
    <row r="402" spans="25:25" x14ac:dyDescent="0.25">
      <c r="Y402" s="114"/>
    </row>
    <row r="403" spans="25:25" x14ac:dyDescent="0.25">
      <c r="Y403" s="114"/>
    </row>
    <row r="404" spans="25:25" x14ac:dyDescent="0.25">
      <c r="Y404" s="114"/>
    </row>
    <row r="405" spans="25:25" x14ac:dyDescent="0.25">
      <c r="Y405" s="114"/>
    </row>
    <row r="406" spans="25:25" x14ac:dyDescent="0.25">
      <c r="Y406" s="114"/>
    </row>
    <row r="407" spans="25:25" x14ac:dyDescent="0.25">
      <c r="Y407" s="114"/>
    </row>
  </sheetData>
  <autoFilter ref="A7:AH13">
    <sortState ref="A8:AH736">
      <sortCondition ref="U7:U736"/>
    </sortState>
  </autoFilter>
  <mergeCells count="21">
    <mergeCell ref="Q4:R5"/>
    <mergeCell ref="A1:B1"/>
    <mergeCell ref="A4:A6"/>
    <mergeCell ref="B4:B6"/>
    <mergeCell ref="C4:C6"/>
    <mergeCell ref="D4:D6"/>
    <mergeCell ref="F4:F6"/>
    <mergeCell ref="L4:L6"/>
    <mergeCell ref="M4:M6"/>
    <mergeCell ref="N4:N6"/>
    <mergeCell ref="O4:O6"/>
    <mergeCell ref="P4:P6"/>
    <mergeCell ref="AE4:AE6"/>
    <mergeCell ref="S5:T5"/>
    <mergeCell ref="U5:V5"/>
    <mergeCell ref="S4:V4"/>
    <mergeCell ref="X4:Z5"/>
    <mergeCell ref="AA4:AA6"/>
    <mergeCell ref="AB4:AB6"/>
    <mergeCell ref="AC4:AC6"/>
    <mergeCell ref="AD4:AD6"/>
  </mergeCells>
  <pageMargins left="0.7" right="0.7" top="0.75" bottom="0.75" header="0.3" footer="0.3"/>
  <pageSetup paperSize="9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KARYAWAN 30</dc:creator>
  <cp:lastModifiedBy>Win7</cp:lastModifiedBy>
  <cp:lastPrinted>2026-03-10T08:42:40Z</cp:lastPrinted>
  <dcterms:created xsi:type="dcterms:W3CDTF">2019-10-01T05:01:02Z</dcterms:created>
  <dcterms:modified xsi:type="dcterms:W3CDTF">2026-03-10T08:50:13Z</dcterms:modified>
</cp:coreProperties>
</file>